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gilgo/Desktop/github/fantasy_football/draft_guides/2024/"/>
    </mc:Choice>
  </mc:AlternateContent>
  <xr:revisionPtr revIDLastSave="0" documentId="8_{8FF9231C-2C0C-5740-A8A7-559D42486269}" xr6:coauthVersionLast="47" xr6:coauthVersionMax="47" xr10:uidLastSave="{00000000-0000-0000-0000-000000000000}"/>
  <bookViews>
    <workbookView xWindow="780" yWindow="1000" windowWidth="27640" windowHeight="15940"/>
  </bookViews>
  <sheets>
    <sheet name="2024_preferred_pla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2" i="1"/>
  <c r="I3" i="1"/>
  <c r="I4" i="1"/>
  <c r="I5" i="1"/>
  <c r="I6" i="1"/>
  <c r="I7" i="1"/>
  <c r="I8" i="1"/>
  <c r="I9" i="1"/>
  <c r="I10" i="1"/>
  <c r="I11" i="1"/>
  <c r="I2" i="1"/>
  <c r="D3" i="1"/>
  <c r="D4" i="1"/>
  <c r="D5" i="1"/>
  <c r="D6" i="1"/>
  <c r="D7" i="1"/>
  <c r="D8" i="1"/>
  <c r="D9" i="1"/>
  <c r="D10" i="1"/>
  <c r="D11" i="1"/>
  <c r="D12" i="1"/>
  <c r="D2" i="1"/>
  <c r="R3" i="1"/>
  <c r="R4" i="1"/>
  <c r="R5" i="1"/>
  <c r="R6" i="1"/>
  <c r="R7" i="1"/>
  <c r="R8" i="1"/>
  <c r="R9" i="1"/>
  <c r="R10" i="1"/>
  <c r="R11" i="1"/>
  <c r="R12" i="1"/>
  <c r="R13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2" i="1"/>
  <c r="H3" i="1"/>
  <c r="H4" i="1"/>
  <c r="H5" i="1"/>
  <c r="H6" i="1"/>
  <c r="H7" i="1"/>
  <c r="H8" i="1"/>
  <c r="H9" i="1"/>
  <c r="H10" i="1"/>
  <c r="H11" i="1"/>
  <c r="H2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<sst xmlns="http://schemas.openxmlformats.org/spreadsheetml/2006/main" count="237" uniqueCount="79">
  <si>
    <t>Position</t>
  </si>
  <si>
    <t>Tier</t>
  </si>
  <si>
    <t>Josh Allen</t>
  </si>
  <si>
    <t>QB</t>
  </si>
  <si>
    <t>Jared Goff</t>
  </si>
  <si>
    <t>Lamar Jackson</t>
  </si>
  <si>
    <t>Pat Mahomes</t>
  </si>
  <si>
    <t>Jordan Love</t>
  </si>
  <si>
    <t>Brock Purdy</t>
  </si>
  <si>
    <t>Jalen Hurts</t>
  </si>
  <si>
    <t>Kirk Cousins</t>
  </si>
  <si>
    <t>CJ Stroud</t>
  </si>
  <si>
    <t>Tua Tagliovia</t>
  </si>
  <si>
    <t>Dak Prescott</t>
  </si>
  <si>
    <t>Breece Hall</t>
  </si>
  <si>
    <t>RB</t>
  </si>
  <si>
    <t>Isiah Pacheco</t>
  </si>
  <si>
    <t>Jonathan Taylor</t>
  </si>
  <si>
    <t>Rachaad White</t>
  </si>
  <si>
    <t>Zamir White</t>
  </si>
  <si>
    <t>Jaylen Warren</t>
  </si>
  <si>
    <t>Keaton Mitchell</t>
  </si>
  <si>
    <t>Tyler Allegier</t>
  </si>
  <si>
    <t>Roschon Johnson</t>
  </si>
  <si>
    <t>Chase Brown</t>
  </si>
  <si>
    <t>CeeDee Lamb</t>
  </si>
  <si>
    <t>WR</t>
  </si>
  <si>
    <t>Justin Jefferson</t>
  </si>
  <si>
    <t>Tyreek Hill</t>
  </si>
  <si>
    <t>Nico Collins</t>
  </si>
  <si>
    <t>Puka Nacua</t>
  </si>
  <si>
    <t>Michael Pittman Jr.</t>
  </si>
  <si>
    <t>Ja'Marr Chase</t>
  </si>
  <si>
    <t>Amon-Ra St. Brown</t>
  </si>
  <si>
    <t>D.J. Moore</t>
  </si>
  <si>
    <t>Brandon Aiyuk</t>
  </si>
  <si>
    <t>Chris Olave</t>
  </si>
  <si>
    <t>Zay Flowers</t>
  </si>
  <si>
    <t>George Pickens</t>
  </si>
  <si>
    <t>Josh Downs</t>
  </si>
  <si>
    <t>DeVonta Smith</t>
  </si>
  <si>
    <t>Jordan Addison</t>
  </si>
  <si>
    <t>Jaylen Waddle</t>
  </si>
  <si>
    <t>A.J. Brown</t>
  </si>
  <si>
    <t>Amari Cooper</t>
  </si>
  <si>
    <t>Jayden Reed</t>
  </si>
  <si>
    <t>Rashee Rice</t>
  </si>
  <si>
    <t>Calvin Ridley</t>
  </si>
  <si>
    <t>Deebo Samuel</t>
  </si>
  <si>
    <t>Tyler Boyd</t>
  </si>
  <si>
    <t>Rashid Shaheed</t>
  </si>
  <si>
    <t>D.K. Metcalf</t>
  </si>
  <si>
    <t>Darius Slayton</t>
  </si>
  <si>
    <t>Tank Dell</t>
  </si>
  <si>
    <t>Christian Kirk</t>
  </si>
  <si>
    <t>Michael Wilson</t>
  </si>
  <si>
    <t>Josh Palmer</t>
  </si>
  <si>
    <t>Noah Brown</t>
  </si>
  <si>
    <t>Tee Higgins</t>
  </si>
  <si>
    <t>Diontae Johnson</t>
  </si>
  <si>
    <t>Gabriel Davis</t>
  </si>
  <si>
    <t>Christian Watson</t>
  </si>
  <si>
    <t>Jameson Williams</t>
  </si>
  <si>
    <t>George Kittle</t>
  </si>
  <si>
    <t>TE</t>
  </si>
  <si>
    <t>Mark Andrews</t>
  </si>
  <si>
    <t>Sam LaPorta</t>
  </si>
  <si>
    <t>Trey McBride</t>
  </si>
  <si>
    <t>Noah Fant</t>
  </si>
  <si>
    <t>Dalton Schultz</t>
  </si>
  <si>
    <t>Luke Musgrave</t>
  </si>
  <si>
    <t>Isaiah Likely</t>
  </si>
  <si>
    <t>Jonnu Smith</t>
  </si>
  <si>
    <t>Tucker Kraft</t>
  </si>
  <si>
    <t>Michael Mayer</t>
  </si>
  <si>
    <t>Cole Kmet</t>
  </si>
  <si>
    <t>OVR</t>
  </si>
  <si>
    <t>High</t>
  </si>
  <si>
    <t>Round_12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</si>
</sst>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"/>
  <sheetViews>
    <sheetView tabSelected="1" workbookViewId="0">
      <selection activeCell="P1" sqref="P1"/>
    </sheetView>
  </sheetViews>
  <sheetFormatPr baseColWidth="10" defaultRowHeight="16" x14ac:dyDescent="0.2"/>
  <cols>
    <col min="1" max="1" width="13" bestFit="1" customWidth="1"/>
    <col min="6" max="6" width="15" bestFit="1" customWidth="1"/>
    <col min="11" max="11" width="17.5" bestFit="1" customWidth="1"/>
    <col min="16" max="16" width="13.33203125" bestFit="1" customWidth="1"/>
    <col min="22" max="22" width="17.5" bestFit="1" customWidth="1"/>
  </cols>
  <sheetData>
    <row r="1" spans="1:26" x14ac:dyDescent="0.2">
      <c r="A1" s="2" t="s">
        <v>3</v>
      </c>
      <c r="B1" t="s">
        <v>1</v>
      </c>
      <c r="C1" t="s">
        <v>77</v>
      </c>
      <c r="D1" t="s">
        <v>78</v>
      </c>
      <c r="F1" s="2" t="s">
        <v>15</v>
      </c>
      <c r="G1" t="s">
        <v>1</v>
      </c>
      <c r="H1" t="s">
        <v>77</v>
      </c>
      <c r="I1" t="s">
        <v>78</v>
      </c>
      <c r="K1" s="2" t="s">
        <v>26</v>
      </c>
      <c r="L1" t="s">
        <v>1</v>
      </c>
      <c r="M1" t="s">
        <v>77</v>
      </c>
      <c r="N1" t="s">
        <v>78</v>
      </c>
      <c r="P1" s="2" t="s">
        <v>64</v>
      </c>
      <c r="Q1" t="s">
        <v>1</v>
      </c>
      <c r="R1" t="s">
        <v>77</v>
      </c>
      <c r="S1" t="s">
        <v>78</v>
      </c>
      <c r="V1" t="s">
        <v>76</v>
      </c>
      <c r="W1" t="s">
        <v>0</v>
      </c>
      <c r="X1" t="s">
        <v>1</v>
      </c>
      <c r="Y1" t="s">
        <v>77</v>
      </c>
      <c r="Z1" t="s">
        <v>78</v>
      </c>
    </row>
    <row r="2" spans="1:26" x14ac:dyDescent="0.2">
      <c r="A2" t="s">
        <v>2</v>
      </c>
      <c r="B2">
        <v>1</v>
      </c>
      <c r="C2">
        <f>VLOOKUP(A2,$V$1:$Z$73,4,FALSE)</f>
        <v>10</v>
      </c>
      <c r="D2">
        <f>VLOOKUP(A2,$V$1:$Z$73,5,FALSE)</f>
        <v>2</v>
      </c>
      <c r="F2" t="s">
        <v>14</v>
      </c>
      <c r="G2">
        <v>1</v>
      </c>
      <c r="H2">
        <f>VLOOKUP(F2,$V$1:$Z$73,4,FALSE)</f>
        <v>2</v>
      </c>
      <c r="I2">
        <f>VLOOKUP(F2,$V$1:$Z$73,5,FALSE)</f>
        <v>1</v>
      </c>
      <c r="K2" t="s">
        <v>25</v>
      </c>
      <c r="L2">
        <v>1</v>
      </c>
      <c r="M2">
        <f>VLOOKUP(K2,$V$1:$Z$73,4,FALSE)</f>
        <v>1</v>
      </c>
      <c r="N2">
        <f>VLOOKUP(K2,$V$1:$Z$73,5,FALSE)</f>
        <v>1</v>
      </c>
      <c r="P2" t="s">
        <v>63</v>
      </c>
      <c r="Q2">
        <v>1</v>
      </c>
      <c r="R2">
        <f>VLOOKUP(P2,$V$1:$Z$73,4,FALSE)</f>
        <v>46</v>
      </c>
      <c r="S2">
        <f>VLOOKUP(P2,$V$1:$Z$73,5,FALSE)</f>
        <v>6</v>
      </c>
      <c r="V2" t="s">
        <v>25</v>
      </c>
      <c r="W2" t="s">
        <v>26</v>
      </c>
      <c r="X2">
        <v>1</v>
      </c>
      <c r="Y2">
        <v>1</v>
      </c>
      <c r="Z2" s="1">
        <v>1</v>
      </c>
    </row>
    <row r="3" spans="1:26" x14ac:dyDescent="0.2">
      <c r="A3" t="s">
        <v>4</v>
      </c>
      <c r="B3">
        <v>1</v>
      </c>
      <c r="C3">
        <f t="shared" ref="C3:C12" si="0">VLOOKUP(A3,$V$1:$Z$73,4,FALSE)</f>
        <v>60</v>
      </c>
      <c r="D3">
        <f t="shared" ref="D3:D12" si="1">VLOOKUP(A3,$V$1:$Z$73,5,FALSE)</f>
        <v>7</v>
      </c>
      <c r="F3" t="s">
        <v>16</v>
      </c>
      <c r="G3">
        <v>1</v>
      </c>
      <c r="H3">
        <f t="shared" ref="H3:H11" si="2">VLOOKUP(F3,$V$1:$Z$73,4,FALSE)</f>
        <v>12</v>
      </c>
      <c r="I3">
        <f t="shared" ref="I3:I11" si="3">VLOOKUP(F3,$V$1:$Z$73,5,FALSE)</f>
        <v>2</v>
      </c>
      <c r="K3" t="s">
        <v>27</v>
      </c>
      <c r="L3">
        <v>1</v>
      </c>
      <c r="M3">
        <f t="shared" ref="M3:M40" si="4">VLOOKUP(K3,$V$1:$Z$73,4,FALSE)</f>
        <v>3</v>
      </c>
      <c r="N3">
        <f t="shared" ref="N3:N40" si="5">VLOOKUP(K3,$V$1:$Z$73,5,FALSE)</f>
        <v>1</v>
      </c>
      <c r="P3" t="s">
        <v>65</v>
      </c>
      <c r="Q3">
        <v>1</v>
      </c>
      <c r="R3">
        <f t="shared" ref="R3:R13" si="6">VLOOKUP(P3,$V$1:$Z$73,4,FALSE)</f>
        <v>34</v>
      </c>
      <c r="S3">
        <f t="shared" ref="S3:S13" si="7">VLOOKUP(P3,$V$1:$Z$73,5,FALSE)</f>
        <v>5</v>
      </c>
      <c r="V3" t="s">
        <v>28</v>
      </c>
      <c r="W3" t="s">
        <v>26</v>
      </c>
      <c r="X3">
        <v>1</v>
      </c>
      <c r="Y3">
        <v>1</v>
      </c>
      <c r="Z3" s="1">
        <v>1</v>
      </c>
    </row>
    <row r="4" spans="1:26" x14ac:dyDescent="0.2">
      <c r="A4" t="s">
        <v>5</v>
      </c>
      <c r="B4">
        <v>1</v>
      </c>
      <c r="C4">
        <f t="shared" si="0"/>
        <v>23</v>
      </c>
      <c r="D4">
        <f t="shared" si="1"/>
        <v>4</v>
      </c>
      <c r="F4" t="s">
        <v>17</v>
      </c>
      <c r="G4">
        <v>1</v>
      </c>
      <c r="H4">
        <f t="shared" si="2"/>
        <v>9</v>
      </c>
      <c r="I4">
        <f t="shared" si="3"/>
        <v>2</v>
      </c>
      <c r="K4" t="s">
        <v>28</v>
      </c>
      <c r="L4">
        <v>1</v>
      </c>
      <c r="M4">
        <f t="shared" si="4"/>
        <v>1</v>
      </c>
      <c r="N4">
        <f t="shared" si="5"/>
        <v>1</v>
      </c>
      <c r="P4" t="s">
        <v>66</v>
      </c>
      <c r="Q4">
        <v>1</v>
      </c>
      <c r="R4">
        <f t="shared" si="6"/>
        <v>14</v>
      </c>
      <c r="S4">
        <f t="shared" si="7"/>
        <v>3</v>
      </c>
      <c r="V4" t="s">
        <v>14</v>
      </c>
      <c r="W4" t="s">
        <v>15</v>
      </c>
      <c r="X4">
        <v>1</v>
      </c>
      <c r="Y4">
        <v>2</v>
      </c>
      <c r="Z4" s="1">
        <v>1</v>
      </c>
    </row>
    <row r="5" spans="1:26" x14ac:dyDescent="0.2">
      <c r="A5" t="s">
        <v>6</v>
      </c>
      <c r="B5">
        <v>2</v>
      </c>
      <c r="C5">
        <f t="shared" si="0"/>
        <v>0</v>
      </c>
      <c r="D5">
        <f t="shared" si="1"/>
        <v>0</v>
      </c>
      <c r="F5" t="s">
        <v>18</v>
      </c>
      <c r="G5">
        <v>1</v>
      </c>
      <c r="H5">
        <f t="shared" si="2"/>
        <v>17</v>
      </c>
      <c r="I5">
        <f t="shared" si="3"/>
        <v>2</v>
      </c>
      <c r="K5" t="s">
        <v>29</v>
      </c>
      <c r="L5">
        <v>1</v>
      </c>
      <c r="M5">
        <f t="shared" si="4"/>
        <v>20</v>
      </c>
      <c r="N5">
        <f t="shared" si="5"/>
        <v>3</v>
      </c>
      <c r="P5" t="s">
        <v>67</v>
      </c>
      <c r="Q5">
        <v>2</v>
      </c>
      <c r="R5">
        <f t="shared" si="6"/>
        <v>49</v>
      </c>
      <c r="S5">
        <f t="shared" si="7"/>
        <v>6</v>
      </c>
      <c r="V5" t="s">
        <v>32</v>
      </c>
      <c r="W5" t="s">
        <v>26</v>
      </c>
      <c r="X5">
        <v>1</v>
      </c>
      <c r="Y5">
        <v>2</v>
      </c>
      <c r="Z5" s="1">
        <v>1</v>
      </c>
    </row>
    <row r="6" spans="1:26" x14ac:dyDescent="0.2">
      <c r="A6" t="s">
        <v>7</v>
      </c>
      <c r="B6">
        <v>2</v>
      </c>
      <c r="C6">
        <f t="shared" si="0"/>
        <v>57</v>
      </c>
      <c r="D6">
        <f t="shared" si="1"/>
        <v>7</v>
      </c>
      <c r="F6" t="s">
        <v>19</v>
      </c>
      <c r="G6">
        <v>2</v>
      </c>
      <c r="H6">
        <f t="shared" si="2"/>
        <v>53</v>
      </c>
      <c r="I6">
        <f t="shared" si="3"/>
        <v>6</v>
      </c>
      <c r="K6" t="s">
        <v>30</v>
      </c>
      <c r="L6">
        <v>1</v>
      </c>
      <c r="M6">
        <f t="shared" si="4"/>
        <v>7</v>
      </c>
      <c r="N6">
        <f t="shared" si="5"/>
        <v>2</v>
      </c>
      <c r="P6" t="s">
        <v>68</v>
      </c>
      <c r="Q6">
        <v>2</v>
      </c>
      <c r="R6">
        <f t="shared" si="6"/>
        <v>0</v>
      </c>
      <c r="S6">
        <f t="shared" si="7"/>
        <v>0</v>
      </c>
      <c r="V6" t="s">
        <v>33</v>
      </c>
      <c r="W6" t="s">
        <v>26</v>
      </c>
      <c r="X6">
        <v>1</v>
      </c>
      <c r="Y6">
        <v>2</v>
      </c>
      <c r="Z6" s="1">
        <v>1</v>
      </c>
    </row>
    <row r="7" spans="1:26" x14ac:dyDescent="0.2">
      <c r="A7" t="s">
        <v>8</v>
      </c>
      <c r="B7">
        <v>2</v>
      </c>
      <c r="C7">
        <f t="shared" si="0"/>
        <v>53</v>
      </c>
      <c r="D7">
        <f t="shared" si="1"/>
        <v>7</v>
      </c>
      <c r="F7" t="s">
        <v>20</v>
      </c>
      <c r="G7">
        <v>2</v>
      </c>
      <c r="H7">
        <f t="shared" si="2"/>
        <v>61</v>
      </c>
      <c r="I7">
        <f t="shared" si="3"/>
        <v>7</v>
      </c>
      <c r="K7" t="s">
        <v>31</v>
      </c>
      <c r="L7">
        <v>1</v>
      </c>
      <c r="M7">
        <f t="shared" si="4"/>
        <v>35</v>
      </c>
      <c r="N7">
        <f t="shared" si="5"/>
        <v>4</v>
      </c>
      <c r="P7" t="s">
        <v>69</v>
      </c>
      <c r="Q7">
        <v>2</v>
      </c>
      <c r="R7">
        <f t="shared" si="6"/>
        <v>0</v>
      </c>
      <c r="S7">
        <f t="shared" si="7"/>
        <v>0</v>
      </c>
      <c r="V7" t="s">
        <v>27</v>
      </c>
      <c r="W7" t="s">
        <v>26</v>
      </c>
      <c r="X7">
        <v>1</v>
      </c>
      <c r="Y7">
        <v>3</v>
      </c>
      <c r="Z7" s="1">
        <v>1</v>
      </c>
    </row>
    <row r="8" spans="1:26" x14ac:dyDescent="0.2">
      <c r="A8" t="s">
        <v>9</v>
      </c>
      <c r="B8">
        <v>2</v>
      </c>
      <c r="C8">
        <f t="shared" si="0"/>
        <v>16</v>
      </c>
      <c r="D8">
        <f t="shared" si="1"/>
        <v>3</v>
      </c>
      <c r="F8" t="s">
        <v>21</v>
      </c>
      <c r="G8">
        <v>3</v>
      </c>
      <c r="H8">
        <f t="shared" si="2"/>
        <v>0</v>
      </c>
      <c r="I8">
        <f t="shared" si="3"/>
        <v>0</v>
      </c>
      <c r="K8" t="s">
        <v>32</v>
      </c>
      <c r="L8">
        <v>1</v>
      </c>
      <c r="M8">
        <f t="shared" si="4"/>
        <v>2</v>
      </c>
      <c r="N8">
        <f t="shared" si="5"/>
        <v>1</v>
      </c>
      <c r="P8" t="s">
        <v>70</v>
      </c>
      <c r="Q8">
        <v>2</v>
      </c>
      <c r="R8">
        <f t="shared" si="6"/>
        <v>129</v>
      </c>
      <c r="S8">
        <f t="shared" si="7"/>
        <v>14</v>
      </c>
      <c r="V8" t="s">
        <v>30</v>
      </c>
      <c r="W8" t="s">
        <v>26</v>
      </c>
      <c r="X8">
        <v>1</v>
      </c>
      <c r="Y8">
        <v>7</v>
      </c>
      <c r="Z8" s="1">
        <v>2</v>
      </c>
    </row>
    <row r="9" spans="1:26" x14ac:dyDescent="0.2">
      <c r="A9" t="s">
        <v>10</v>
      </c>
      <c r="B9">
        <v>2</v>
      </c>
      <c r="C9">
        <f t="shared" si="0"/>
        <v>104</v>
      </c>
      <c r="D9">
        <f t="shared" si="1"/>
        <v>12</v>
      </c>
      <c r="F9" t="s">
        <v>22</v>
      </c>
      <c r="G9">
        <v>3</v>
      </c>
      <c r="H9">
        <f t="shared" si="2"/>
        <v>0</v>
      </c>
      <c r="I9">
        <f t="shared" si="3"/>
        <v>0</v>
      </c>
      <c r="K9" t="s">
        <v>33</v>
      </c>
      <c r="L9">
        <v>1</v>
      </c>
      <c r="M9">
        <f t="shared" si="4"/>
        <v>2</v>
      </c>
      <c r="N9">
        <f t="shared" si="5"/>
        <v>1</v>
      </c>
      <c r="P9" t="s">
        <v>71</v>
      </c>
      <c r="Q9">
        <v>3</v>
      </c>
      <c r="R9">
        <f t="shared" si="6"/>
        <v>0</v>
      </c>
      <c r="S9">
        <f t="shared" si="7"/>
        <v>0</v>
      </c>
      <c r="V9" t="s">
        <v>17</v>
      </c>
      <c r="W9" t="s">
        <v>15</v>
      </c>
      <c r="X9">
        <v>1</v>
      </c>
      <c r="Y9">
        <v>9</v>
      </c>
      <c r="Z9" s="1">
        <v>2</v>
      </c>
    </row>
    <row r="10" spans="1:26" x14ac:dyDescent="0.2">
      <c r="A10" t="s">
        <v>11</v>
      </c>
      <c r="B10">
        <v>3</v>
      </c>
      <c r="C10">
        <f t="shared" si="0"/>
        <v>0</v>
      </c>
      <c r="D10">
        <f t="shared" si="1"/>
        <v>0</v>
      </c>
      <c r="F10" t="s">
        <v>23</v>
      </c>
      <c r="G10">
        <v>3</v>
      </c>
      <c r="H10">
        <f t="shared" si="2"/>
        <v>0</v>
      </c>
      <c r="I10">
        <f t="shared" si="3"/>
        <v>0</v>
      </c>
      <c r="K10" t="s">
        <v>34</v>
      </c>
      <c r="L10">
        <v>2</v>
      </c>
      <c r="M10">
        <f t="shared" si="4"/>
        <v>28</v>
      </c>
      <c r="N10">
        <f t="shared" si="5"/>
        <v>4</v>
      </c>
      <c r="P10" t="s">
        <v>72</v>
      </c>
      <c r="Q10">
        <v>3</v>
      </c>
      <c r="R10">
        <f t="shared" si="6"/>
        <v>0</v>
      </c>
      <c r="S10">
        <f t="shared" si="7"/>
        <v>0</v>
      </c>
      <c r="V10" t="s">
        <v>2</v>
      </c>
      <c r="W10" t="s">
        <v>3</v>
      </c>
      <c r="X10">
        <v>1</v>
      </c>
      <c r="Y10">
        <v>10</v>
      </c>
      <c r="Z10" s="1">
        <v>2</v>
      </c>
    </row>
    <row r="11" spans="1:26" x14ac:dyDescent="0.2">
      <c r="A11" t="s">
        <v>12</v>
      </c>
      <c r="B11">
        <v>3</v>
      </c>
      <c r="C11">
        <f t="shared" si="0"/>
        <v>0</v>
      </c>
      <c r="D11">
        <f t="shared" si="1"/>
        <v>0</v>
      </c>
      <c r="F11" t="s">
        <v>24</v>
      </c>
      <c r="G11">
        <v>3</v>
      </c>
      <c r="H11">
        <f t="shared" si="2"/>
        <v>78</v>
      </c>
      <c r="I11">
        <f t="shared" si="3"/>
        <v>8</v>
      </c>
      <c r="K11" t="s">
        <v>35</v>
      </c>
      <c r="L11">
        <v>2</v>
      </c>
      <c r="M11">
        <f t="shared" si="4"/>
        <v>16</v>
      </c>
      <c r="N11">
        <f t="shared" si="5"/>
        <v>2</v>
      </c>
      <c r="P11" t="s">
        <v>73</v>
      </c>
      <c r="Q11">
        <v>3</v>
      </c>
      <c r="R11">
        <f t="shared" si="6"/>
        <v>0</v>
      </c>
      <c r="S11">
        <f t="shared" si="7"/>
        <v>0</v>
      </c>
      <c r="V11" t="s">
        <v>16</v>
      </c>
      <c r="W11" t="s">
        <v>15</v>
      </c>
      <c r="X11">
        <v>1</v>
      </c>
      <c r="Y11">
        <v>12</v>
      </c>
      <c r="Z11" s="1">
        <v>2</v>
      </c>
    </row>
    <row r="12" spans="1:26" x14ac:dyDescent="0.2">
      <c r="A12" t="s">
        <v>13</v>
      </c>
      <c r="B12">
        <v>3</v>
      </c>
      <c r="C12">
        <f t="shared" si="0"/>
        <v>44</v>
      </c>
      <c r="D12">
        <f t="shared" si="1"/>
        <v>5</v>
      </c>
      <c r="K12" t="s">
        <v>36</v>
      </c>
      <c r="L12">
        <v>2</v>
      </c>
      <c r="M12">
        <f t="shared" si="4"/>
        <v>16</v>
      </c>
      <c r="N12">
        <f t="shared" si="5"/>
        <v>3</v>
      </c>
      <c r="P12" t="s">
        <v>74</v>
      </c>
      <c r="Q12">
        <v>3</v>
      </c>
      <c r="R12">
        <f t="shared" si="6"/>
        <v>0</v>
      </c>
      <c r="S12">
        <f t="shared" si="7"/>
        <v>0</v>
      </c>
      <c r="V12" t="s">
        <v>18</v>
      </c>
      <c r="W12" t="s">
        <v>15</v>
      </c>
      <c r="X12">
        <v>1</v>
      </c>
      <c r="Y12">
        <v>17</v>
      </c>
      <c r="Z12" s="1">
        <v>2</v>
      </c>
    </row>
    <row r="13" spans="1:26" x14ac:dyDescent="0.2">
      <c r="K13" t="s">
        <v>37</v>
      </c>
      <c r="L13">
        <v>2</v>
      </c>
      <c r="M13">
        <f t="shared" si="4"/>
        <v>35</v>
      </c>
      <c r="N13">
        <f t="shared" si="5"/>
        <v>4</v>
      </c>
      <c r="P13" t="s">
        <v>75</v>
      </c>
      <c r="Q13">
        <v>3</v>
      </c>
      <c r="R13">
        <f t="shared" si="6"/>
        <v>113</v>
      </c>
      <c r="S13">
        <f t="shared" si="7"/>
        <v>12</v>
      </c>
      <c r="V13" t="s">
        <v>66</v>
      </c>
      <c r="W13" t="s">
        <v>64</v>
      </c>
      <c r="X13">
        <v>1</v>
      </c>
      <c r="Y13">
        <v>14</v>
      </c>
      <c r="Z13" s="1">
        <v>3</v>
      </c>
    </row>
    <row r="14" spans="1:26" x14ac:dyDescent="0.2">
      <c r="K14" t="s">
        <v>38</v>
      </c>
      <c r="L14">
        <v>2</v>
      </c>
      <c r="M14">
        <f t="shared" si="4"/>
        <v>43</v>
      </c>
      <c r="N14">
        <f t="shared" si="5"/>
        <v>5</v>
      </c>
      <c r="V14" t="s">
        <v>29</v>
      </c>
      <c r="W14" t="s">
        <v>26</v>
      </c>
      <c r="X14">
        <v>1</v>
      </c>
      <c r="Y14">
        <v>20</v>
      </c>
      <c r="Z14" s="1">
        <v>3</v>
      </c>
    </row>
    <row r="15" spans="1:26" x14ac:dyDescent="0.2">
      <c r="K15" t="s">
        <v>39</v>
      </c>
      <c r="L15">
        <v>2</v>
      </c>
      <c r="M15">
        <f t="shared" si="4"/>
        <v>0</v>
      </c>
      <c r="N15">
        <f t="shared" si="5"/>
        <v>0</v>
      </c>
      <c r="V15" t="s">
        <v>5</v>
      </c>
      <c r="W15" t="s">
        <v>3</v>
      </c>
      <c r="X15">
        <v>1</v>
      </c>
      <c r="Y15">
        <v>23</v>
      </c>
      <c r="Z15" s="1">
        <v>4</v>
      </c>
    </row>
    <row r="16" spans="1:26" x14ac:dyDescent="0.2">
      <c r="K16" t="s">
        <v>40</v>
      </c>
      <c r="L16">
        <v>2</v>
      </c>
      <c r="M16">
        <f t="shared" si="4"/>
        <v>22</v>
      </c>
      <c r="N16">
        <f t="shared" si="5"/>
        <v>3</v>
      </c>
      <c r="V16" t="s">
        <v>31</v>
      </c>
      <c r="W16" t="s">
        <v>26</v>
      </c>
      <c r="X16">
        <v>1</v>
      </c>
      <c r="Y16">
        <v>35</v>
      </c>
      <c r="Z16" s="1">
        <v>4</v>
      </c>
    </row>
    <row r="17" spans="11:26" x14ac:dyDescent="0.2">
      <c r="K17" t="s">
        <v>41</v>
      </c>
      <c r="L17">
        <v>2</v>
      </c>
      <c r="M17">
        <f t="shared" si="4"/>
        <v>0</v>
      </c>
      <c r="N17">
        <f t="shared" si="5"/>
        <v>0</v>
      </c>
      <c r="V17" t="s">
        <v>65</v>
      </c>
      <c r="W17" t="s">
        <v>64</v>
      </c>
      <c r="X17">
        <v>1</v>
      </c>
      <c r="Y17">
        <v>34</v>
      </c>
      <c r="Z17" s="1">
        <v>5</v>
      </c>
    </row>
    <row r="18" spans="11:26" x14ac:dyDescent="0.2">
      <c r="K18" t="s">
        <v>42</v>
      </c>
      <c r="L18">
        <v>2</v>
      </c>
      <c r="M18">
        <f t="shared" si="4"/>
        <v>19</v>
      </c>
      <c r="N18">
        <f t="shared" si="5"/>
        <v>3</v>
      </c>
      <c r="V18" t="s">
        <v>63</v>
      </c>
      <c r="W18" t="s">
        <v>64</v>
      </c>
      <c r="X18">
        <v>1</v>
      </c>
      <c r="Y18">
        <v>46</v>
      </c>
      <c r="Z18" s="1">
        <v>6</v>
      </c>
    </row>
    <row r="19" spans="11:26" x14ac:dyDescent="0.2">
      <c r="K19" t="s">
        <v>43</v>
      </c>
      <c r="L19">
        <v>2</v>
      </c>
      <c r="M19">
        <f t="shared" si="4"/>
        <v>5</v>
      </c>
      <c r="N19">
        <f t="shared" si="5"/>
        <v>1</v>
      </c>
      <c r="V19" t="s">
        <v>4</v>
      </c>
      <c r="W19" t="s">
        <v>3</v>
      </c>
      <c r="X19">
        <v>1</v>
      </c>
      <c r="Y19">
        <v>60</v>
      </c>
      <c r="Z19" s="1">
        <v>7</v>
      </c>
    </row>
    <row r="20" spans="11:26" x14ac:dyDescent="0.2">
      <c r="K20" t="s">
        <v>44</v>
      </c>
      <c r="L20">
        <v>2</v>
      </c>
      <c r="M20">
        <f t="shared" si="4"/>
        <v>31</v>
      </c>
      <c r="N20">
        <f t="shared" si="5"/>
        <v>4</v>
      </c>
      <c r="V20" t="s">
        <v>43</v>
      </c>
      <c r="W20" t="s">
        <v>26</v>
      </c>
      <c r="X20">
        <v>2</v>
      </c>
      <c r="Y20">
        <v>5</v>
      </c>
      <c r="Z20" s="1">
        <v>1</v>
      </c>
    </row>
    <row r="21" spans="11:26" x14ac:dyDescent="0.2">
      <c r="K21" t="s">
        <v>45</v>
      </c>
      <c r="L21">
        <v>2</v>
      </c>
      <c r="M21">
        <f t="shared" si="4"/>
        <v>47</v>
      </c>
      <c r="N21">
        <f t="shared" si="5"/>
        <v>5</v>
      </c>
      <c r="V21" t="s">
        <v>35</v>
      </c>
      <c r="W21" t="s">
        <v>26</v>
      </c>
      <c r="X21">
        <v>2</v>
      </c>
      <c r="Y21">
        <v>16</v>
      </c>
      <c r="Z21" s="1">
        <v>2</v>
      </c>
    </row>
    <row r="22" spans="11:26" x14ac:dyDescent="0.2">
      <c r="K22" t="s">
        <v>46</v>
      </c>
      <c r="L22">
        <v>3</v>
      </c>
      <c r="M22">
        <f t="shared" si="4"/>
        <v>51</v>
      </c>
      <c r="N22">
        <f t="shared" si="5"/>
        <v>6</v>
      </c>
      <c r="V22" t="s">
        <v>9</v>
      </c>
      <c r="W22" t="s">
        <v>3</v>
      </c>
      <c r="X22">
        <v>2</v>
      </c>
      <c r="Y22">
        <v>16</v>
      </c>
      <c r="Z22" s="1">
        <v>3</v>
      </c>
    </row>
    <row r="23" spans="11:26" x14ac:dyDescent="0.2">
      <c r="K23" t="s">
        <v>47</v>
      </c>
      <c r="L23">
        <v>3</v>
      </c>
      <c r="M23">
        <f t="shared" si="4"/>
        <v>59</v>
      </c>
      <c r="N23">
        <f t="shared" si="5"/>
        <v>7</v>
      </c>
      <c r="V23" t="s">
        <v>36</v>
      </c>
      <c r="W23" t="s">
        <v>26</v>
      </c>
      <c r="X23">
        <v>2</v>
      </c>
      <c r="Y23">
        <v>16</v>
      </c>
      <c r="Z23" s="1">
        <v>3</v>
      </c>
    </row>
    <row r="24" spans="11:26" x14ac:dyDescent="0.2">
      <c r="K24" t="s">
        <v>48</v>
      </c>
      <c r="L24">
        <v>3</v>
      </c>
      <c r="M24">
        <f t="shared" si="4"/>
        <v>15</v>
      </c>
      <c r="N24">
        <f t="shared" si="5"/>
        <v>3</v>
      </c>
      <c r="V24" t="s">
        <v>42</v>
      </c>
      <c r="W24" t="s">
        <v>26</v>
      </c>
      <c r="X24">
        <v>2</v>
      </c>
      <c r="Y24">
        <v>19</v>
      </c>
      <c r="Z24" s="1">
        <v>3</v>
      </c>
    </row>
    <row r="25" spans="11:26" x14ac:dyDescent="0.2">
      <c r="K25" t="s">
        <v>49</v>
      </c>
      <c r="L25">
        <v>3</v>
      </c>
      <c r="M25">
        <f t="shared" si="4"/>
        <v>0</v>
      </c>
      <c r="N25">
        <f t="shared" si="5"/>
        <v>0</v>
      </c>
      <c r="V25" t="s">
        <v>6</v>
      </c>
      <c r="W25" t="s">
        <v>3</v>
      </c>
      <c r="X25">
        <v>2</v>
      </c>
    </row>
    <row r="26" spans="11:26" x14ac:dyDescent="0.2">
      <c r="K26" t="s">
        <v>50</v>
      </c>
      <c r="L26">
        <v>3</v>
      </c>
      <c r="M26">
        <f t="shared" si="4"/>
        <v>102</v>
      </c>
      <c r="N26">
        <f t="shared" si="5"/>
        <v>12</v>
      </c>
      <c r="V26" t="s">
        <v>40</v>
      </c>
      <c r="W26" t="s">
        <v>26</v>
      </c>
      <c r="X26">
        <v>2</v>
      </c>
      <c r="Y26">
        <v>22</v>
      </c>
      <c r="Z26" s="1">
        <v>3</v>
      </c>
    </row>
    <row r="27" spans="11:26" x14ac:dyDescent="0.2">
      <c r="K27" t="s">
        <v>51</v>
      </c>
      <c r="L27">
        <v>3</v>
      </c>
      <c r="M27">
        <f t="shared" si="4"/>
        <v>29</v>
      </c>
      <c r="N27">
        <f t="shared" si="5"/>
        <v>4</v>
      </c>
      <c r="V27" t="s">
        <v>34</v>
      </c>
      <c r="W27" t="s">
        <v>26</v>
      </c>
      <c r="X27">
        <v>2</v>
      </c>
      <c r="Y27">
        <v>28</v>
      </c>
      <c r="Z27" s="1">
        <v>4</v>
      </c>
    </row>
    <row r="28" spans="11:26" x14ac:dyDescent="0.2">
      <c r="K28" t="s">
        <v>52</v>
      </c>
      <c r="L28">
        <v>3</v>
      </c>
      <c r="M28">
        <f t="shared" si="4"/>
        <v>0</v>
      </c>
      <c r="N28">
        <f t="shared" si="5"/>
        <v>0</v>
      </c>
      <c r="V28" t="s">
        <v>44</v>
      </c>
      <c r="W28" t="s">
        <v>26</v>
      </c>
      <c r="X28">
        <v>2</v>
      </c>
      <c r="Y28">
        <v>31</v>
      </c>
      <c r="Z28" s="1">
        <v>4</v>
      </c>
    </row>
    <row r="29" spans="11:26" x14ac:dyDescent="0.2">
      <c r="K29" t="s">
        <v>53</v>
      </c>
      <c r="L29">
        <v>3</v>
      </c>
      <c r="M29">
        <f t="shared" si="4"/>
        <v>38</v>
      </c>
      <c r="N29">
        <f t="shared" si="5"/>
        <v>5</v>
      </c>
      <c r="V29" t="s">
        <v>37</v>
      </c>
      <c r="W29" t="s">
        <v>26</v>
      </c>
      <c r="X29">
        <v>2</v>
      </c>
      <c r="Y29">
        <v>35</v>
      </c>
      <c r="Z29" s="1">
        <v>4</v>
      </c>
    </row>
    <row r="30" spans="11:26" x14ac:dyDescent="0.2">
      <c r="K30" t="s">
        <v>44</v>
      </c>
      <c r="L30">
        <v>3</v>
      </c>
      <c r="M30">
        <f t="shared" si="4"/>
        <v>31</v>
      </c>
      <c r="N30">
        <f t="shared" si="5"/>
        <v>4</v>
      </c>
      <c r="V30" t="s">
        <v>38</v>
      </c>
      <c r="W30" t="s">
        <v>26</v>
      </c>
      <c r="X30">
        <v>2</v>
      </c>
      <c r="Y30">
        <v>43</v>
      </c>
      <c r="Z30" s="1">
        <v>5</v>
      </c>
    </row>
    <row r="31" spans="11:26" x14ac:dyDescent="0.2">
      <c r="K31" t="s">
        <v>54</v>
      </c>
      <c r="L31">
        <v>3</v>
      </c>
      <c r="M31">
        <f t="shared" si="4"/>
        <v>31</v>
      </c>
      <c r="N31">
        <f t="shared" si="5"/>
        <v>4</v>
      </c>
      <c r="V31" t="s">
        <v>45</v>
      </c>
      <c r="W31" t="s">
        <v>26</v>
      </c>
      <c r="X31">
        <v>2</v>
      </c>
      <c r="Y31">
        <v>47</v>
      </c>
      <c r="Z31" s="1">
        <v>5</v>
      </c>
    </row>
    <row r="32" spans="11:26" x14ac:dyDescent="0.2">
      <c r="K32" t="s">
        <v>55</v>
      </c>
      <c r="L32">
        <v>3</v>
      </c>
      <c r="M32">
        <f t="shared" si="4"/>
        <v>0</v>
      </c>
      <c r="N32">
        <f t="shared" si="5"/>
        <v>0</v>
      </c>
      <c r="V32" t="s">
        <v>67</v>
      </c>
      <c r="W32" t="s">
        <v>64</v>
      </c>
      <c r="X32">
        <v>2</v>
      </c>
      <c r="Y32">
        <v>49</v>
      </c>
      <c r="Z32" s="1">
        <v>6</v>
      </c>
    </row>
    <row r="33" spans="11:26" x14ac:dyDescent="0.2">
      <c r="K33" t="s">
        <v>56</v>
      </c>
      <c r="L33">
        <v>3</v>
      </c>
      <c r="M33">
        <f t="shared" si="4"/>
        <v>116</v>
      </c>
      <c r="N33">
        <f t="shared" si="5"/>
        <v>12</v>
      </c>
      <c r="V33" t="s">
        <v>19</v>
      </c>
      <c r="W33" t="s">
        <v>15</v>
      </c>
      <c r="X33">
        <v>2</v>
      </c>
      <c r="Y33">
        <v>53</v>
      </c>
      <c r="Z33" s="1">
        <v>6</v>
      </c>
    </row>
    <row r="34" spans="11:26" x14ac:dyDescent="0.2">
      <c r="K34" t="s">
        <v>46</v>
      </c>
      <c r="L34">
        <v>3</v>
      </c>
      <c r="M34">
        <f t="shared" si="4"/>
        <v>51</v>
      </c>
      <c r="N34">
        <f t="shared" si="5"/>
        <v>6</v>
      </c>
      <c r="V34" t="s">
        <v>8</v>
      </c>
      <c r="W34" t="s">
        <v>3</v>
      </c>
      <c r="X34">
        <v>2</v>
      </c>
      <c r="Y34">
        <v>53</v>
      </c>
      <c r="Z34" s="1">
        <v>7</v>
      </c>
    </row>
    <row r="35" spans="11:26" x14ac:dyDescent="0.2">
      <c r="K35" t="s">
        <v>57</v>
      </c>
      <c r="L35">
        <v>3</v>
      </c>
      <c r="M35">
        <f t="shared" si="4"/>
        <v>0</v>
      </c>
      <c r="N35">
        <f t="shared" si="5"/>
        <v>0</v>
      </c>
      <c r="V35" t="s">
        <v>7</v>
      </c>
      <c r="W35" t="s">
        <v>3</v>
      </c>
      <c r="X35">
        <v>2</v>
      </c>
      <c r="Y35">
        <v>57</v>
      </c>
      <c r="Z35" s="1">
        <v>7</v>
      </c>
    </row>
    <row r="36" spans="11:26" x14ac:dyDescent="0.2">
      <c r="K36" t="s">
        <v>58</v>
      </c>
      <c r="L36">
        <v>3</v>
      </c>
      <c r="M36">
        <f t="shared" si="4"/>
        <v>0</v>
      </c>
      <c r="N36">
        <f t="shared" si="5"/>
        <v>0</v>
      </c>
      <c r="V36" t="s">
        <v>20</v>
      </c>
      <c r="W36" t="s">
        <v>15</v>
      </c>
      <c r="X36">
        <v>2</v>
      </c>
      <c r="Y36">
        <v>61</v>
      </c>
      <c r="Z36" s="1">
        <v>7</v>
      </c>
    </row>
    <row r="37" spans="11:26" x14ac:dyDescent="0.2">
      <c r="K37" t="s">
        <v>59</v>
      </c>
      <c r="L37">
        <v>3</v>
      </c>
      <c r="M37">
        <f t="shared" si="4"/>
        <v>91</v>
      </c>
      <c r="N37">
        <f t="shared" si="5"/>
        <v>11</v>
      </c>
      <c r="V37" t="s">
        <v>10</v>
      </c>
      <c r="W37" t="s">
        <v>3</v>
      </c>
      <c r="X37">
        <v>2</v>
      </c>
      <c r="Y37">
        <v>104</v>
      </c>
      <c r="Z37" s="1">
        <v>12</v>
      </c>
    </row>
    <row r="38" spans="11:26" x14ac:dyDescent="0.2">
      <c r="K38" t="s">
        <v>60</v>
      </c>
      <c r="L38">
        <v>3</v>
      </c>
      <c r="M38">
        <f t="shared" si="4"/>
        <v>0</v>
      </c>
      <c r="N38">
        <f t="shared" si="5"/>
        <v>0</v>
      </c>
      <c r="V38" t="s">
        <v>70</v>
      </c>
      <c r="W38" t="s">
        <v>64</v>
      </c>
      <c r="X38">
        <v>2</v>
      </c>
      <c r="Y38">
        <v>129</v>
      </c>
      <c r="Z38" s="1">
        <v>14</v>
      </c>
    </row>
    <row r="39" spans="11:26" x14ac:dyDescent="0.2">
      <c r="K39" t="s">
        <v>61</v>
      </c>
      <c r="L39">
        <v>3</v>
      </c>
      <c r="M39">
        <f t="shared" si="4"/>
        <v>67</v>
      </c>
      <c r="N39">
        <f t="shared" si="5"/>
        <v>8</v>
      </c>
      <c r="V39" t="s">
        <v>39</v>
      </c>
      <c r="W39" t="s">
        <v>26</v>
      </c>
      <c r="X39">
        <v>2</v>
      </c>
    </row>
    <row r="40" spans="11:26" x14ac:dyDescent="0.2">
      <c r="K40" t="s">
        <v>62</v>
      </c>
      <c r="L40">
        <v>3</v>
      </c>
      <c r="M40">
        <f t="shared" si="4"/>
        <v>89</v>
      </c>
      <c r="N40">
        <f t="shared" si="5"/>
        <v>10</v>
      </c>
      <c r="V40" t="s">
        <v>41</v>
      </c>
      <c r="W40" t="s">
        <v>26</v>
      </c>
      <c r="X40">
        <v>2</v>
      </c>
    </row>
    <row r="41" spans="11:26" x14ac:dyDescent="0.2">
      <c r="V41" t="s">
        <v>68</v>
      </c>
      <c r="W41" t="s">
        <v>64</v>
      </c>
      <c r="X41">
        <v>2</v>
      </c>
    </row>
    <row r="42" spans="11:26" x14ac:dyDescent="0.2">
      <c r="V42" t="s">
        <v>69</v>
      </c>
      <c r="W42" t="s">
        <v>64</v>
      </c>
      <c r="X42">
        <v>2</v>
      </c>
    </row>
    <row r="43" spans="11:26" x14ac:dyDescent="0.2">
      <c r="V43" t="s">
        <v>48</v>
      </c>
      <c r="W43" t="s">
        <v>26</v>
      </c>
      <c r="X43">
        <v>3</v>
      </c>
      <c r="Y43">
        <v>15</v>
      </c>
      <c r="Z43">
        <v>3</v>
      </c>
    </row>
    <row r="44" spans="11:26" x14ac:dyDescent="0.2">
      <c r="V44" t="s">
        <v>51</v>
      </c>
      <c r="W44" t="s">
        <v>26</v>
      </c>
      <c r="X44">
        <v>3</v>
      </c>
      <c r="Y44">
        <v>29</v>
      </c>
      <c r="Z44">
        <v>4</v>
      </c>
    </row>
    <row r="45" spans="11:26" x14ac:dyDescent="0.2">
      <c r="V45" t="s">
        <v>44</v>
      </c>
      <c r="W45" t="s">
        <v>26</v>
      </c>
      <c r="X45">
        <v>3</v>
      </c>
      <c r="Y45">
        <v>31</v>
      </c>
      <c r="Z45">
        <v>4</v>
      </c>
    </row>
    <row r="46" spans="11:26" x14ac:dyDescent="0.2">
      <c r="V46" t="s">
        <v>54</v>
      </c>
      <c r="W46" t="s">
        <v>26</v>
      </c>
      <c r="X46">
        <v>3</v>
      </c>
      <c r="Y46">
        <v>31</v>
      </c>
      <c r="Z46">
        <v>4</v>
      </c>
    </row>
    <row r="47" spans="11:26" x14ac:dyDescent="0.2">
      <c r="V47" t="s">
        <v>53</v>
      </c>
      <c r="W47" t="s">
        <v>26</v>
      </c>
      <c r="X47">
        <v>3</v>
      </c>
      <c r="Y47">
        <v>38</v>
      </c>
      <c r="Z47">
        <v>5</v>
      </c>
    </row>
    <row r="48" spans="11:26" x14ac:dyDescent="0.2">
      <c r="V48" t="s">
        <v>13</v>
      </c>
      <c r="W48" t="s">
        <v>3</v>
      </c>
      <c r="X48">
        <v>3</v>
      </c>
      <c r="Y48">
        <v>44</v>
      </c>
      <c r="Z48">
        <v>5</v>
      </c>
    </row>
    <row r="49" spans="22:26" x14ac:dyDescent="0.2">
      <c r="V49" t="s">
        <v>46</v>
      </c>
      <c r="W49" t="s">
        <v>26</v>
      </c>
      <c r="X49">
        <v>3</v>
      </c>
      <c r="Y49">
        <v>51</v>
      </c>
      <c r="Z49">
        <v>6</v>
      </c>
    </row>
    <row r="50" spans="22:26" x14ac:dyDescent="0.2">
      <c r="V50" t="s">
        <v>46</v>
      </c>
      <c r="W50" t="s">
        <v>26</v>
      </c>
      <c r="X50">
        <v>3</v>
      </c>
      <c r="Y50">
        <v>51</v>
      </c>
      <c r="Z50">
        <v>6</v>
      </c>
    </row>
    <row r="51" spans="22:26" x14ac:dyDescent="0.2">
      <c r="V51" t="s">
        <v>47</v>
      </c>
      <c r="W51" t="s">
        <v>26</v>
      </c>
      <c r="X51">
        <v>3</v>
      </c>
      <c r="Y51">
        <v>59</v>
      </c>
      <c r="Z51">
        <v>7</v>
      </c>
    </row>
    <row r="52" spans="22:26" x14ac:dyDescent="0.2">
      <c r="V52" t="s">
        <v>61</v>
      </c>
      <c r="W52" t="s">
        <v>26</v>
      </c>
      <c r="X52">
        <v>3</v>
      </c>
      <c r="Y52">
        <v>67</v>
      </c>
      <c r="Z52">
        <v>8</v>
      </c>
    </row>
    <row r="53" spans="22:26" x14ac:dyDescent="0.2">
      <c r="V53" t="s">
        <v>24</v>
      </c>
      <c r="W53" t="s">
        <v>15</v>
      </c>
      <c r="X53">
        <v>3</v>
      </c>
      <c r="Y53">
        <v>78</v>
      </c>
      <c r="Z53">
        <v>8</v>
      </c>
    </row>
    <row r="54" spans="22:26" x14ac:dyDescent="0.2">
      <c r="V54" t="s">
        <v>62</v>
      </c>
      <c r="W54" t="s">
        <v>26</v>
      </c>
      <c r="X54">
        <v>3</v>
      </c>
      <c r="Y54">
        <v>89</v>
      </c>
      <c r="Z54">
        <v>10</v>
      </c>
    </row>
    <row r="55" spans="22:26" x14ac:dyDescent="0.2">
      <c r="V55" t="s">
        <v>59</v>
      </c>
      <c r="W55" t="s">
        <v>26</v>
      </c>
      <c r="X55">
        <v>3</v>
      </c>
      <c r="Y55">
        <v>91</v>
      </c>
      <c r="Z55">
        <v>11</v>
      </c>
    </row>
    <row r="56" spans="22:26" x14ac:dyDescent="0.2">
      <c r="V56" t="s">
        <v>50</v>
      </c>
      <c r="W56" t="s">
        <v>26</v>
      </c>
      <c r="X56">
        <v>3</v>
      </c>
      <c r="Y56">
        <v>102</v>
      </c>
      <c r="Z56">
        <v>12</v>
      </c>
    </row>
    <row r="57" spans="22:26" x14ac:dyDescent="0.2">
      <c r="V57" t="s">
        <v>75</v>
      </c>
      <c r="W57" t="s">
        <v>64</v>
      </c>
      <c r="X57">
        <v>3</v>
      </c>
      <c r="Y57">
        <v>113</v>
      </c>
      <c r="Z57">
        <v>12</v>
      </c>
    </row>
    <row r="58" spans="22:26" x14ac:dyDescent="0.2">
      <c r="V58" t="s">
        <v>56</v>
      </c>
      <c r="W58" t="s">
        <v>26</v>
      </c>
      <c r="X58">
        <v>3</v>
      </c>
      <c r="Y58">
        <v>116</v>
      </c>
      <c r="Z58">
        <v>12</v>
      </c>
    </row>
    <row r="59" spans="22:26" x14ac:dyDescent="0.2">
      <c r="V59" t="s">
        <v>11</v>
      </c>
      <c r="W59" t="s">
        <v>3</v>
      </c>
      <c r="X59">
        <v>3</v>
      </c>
    </row>
    <row r="60" spans="22:26" x14ac:dyDescent="0.2">
      <c r="V60" t="s">
        <v>12</v>
      </c>
      <c r="W60" t="s">
        <v>3</v>
      </c>
      <c r="X60">
        <v>3</v>
      </c>
    </row>
    <row r="61" spans="22:26" x14ac:dyDescent="0.2">
      <c r="V61" t="s">
        <v>21</v>
      </c>
      <c r="W61" t="s">
        <v>15</v>
      </c>
      <c r="X61">
        <v>3</v>
      </c>
    </row>
    <row r="62" spans="22:26" x14ac:dyDescent="0.2">
      <c r="V62" t="s">
        <v>22</v>
      </c>
      <c r="W62" t="s">
        <v>15</v>
      </c>
      <c r="X62">
        <v>3</v>
      </c>
    </row>
    <row r="63" spans="22:26" x14ac:dyDescent="0.2">
      <c r="V63" t="s">
        <v>23</v>
      </c>
      <c r="W63" t="s">
        <v>15</v>
      </c>
      <c r="X63">
        <v>3</v>
      </c>
    </row>
    <row r="64" spans="22:26" x14ac:dyDescent="0.2">
      <c r="V64" t="s">
        <v>49</v>
      </c>
      <c r="W64" t="s">
        <v>26</v>
      </c>
      <c r="X64">
        <v>3</v>
      </c>
    </row>
    <row r="65" spans="22:24" x14ac:dyDescent="0.2">
      <c r="V65" t="s">
        <v>52</v>
      </c>
      <c r="W65" t="s">
        <v>26</v>
      </c>
      <c r="X65">
        <v>3</v>
      </c>
    </row>
    <row r="66" spans="22:24" x14ac:dyDescent="0.2">
      <c r="V66" t="s">
        <v>55</v>
      </c>
      <c r="W66" t="s">
        <v>26</v>
      </c>
      <c r="X66">
        <v>3</v>
      </c>
    </row>
    <row r="67" spans="22:24" x14ac:dyDescent="0.2">
      <c r="V67" t="s">
        <v>57</v>
      </c>
      <c r="W67" t="s">
        <v>26</v>
      </c>
      <c r="X67">
        <v>3</v>
      </c>
    </row>
    <row r="68" spans="22:24" x14ac:dyDescent="0.2">
      <c r="V68" t="s">
        <v>58</v>
      </c>
      <c r="W68" t="s">
        <v>26</v>
      </c>
      <c r="X68">
        <v>3</v>
      </c>
    </row>
    <row r="69" spans="22:24" x14ac:dyDescent="0.2">
      <c r="V69" t="s">
        <v>60</v>
      </c>
      <c r="W69" t="s">
        <v>26</v>
      </c>
      <c r="X69">
        <v>3</v>
      </c>
    </row>
    <row r="70" spans="22:24" x14ac:dyDescent="0.2">
      <c r="V70" t="s">
        <v>71</v>
      </c>
      <c r="W70" t="s">
        <v>64</v>
      </c>
      <c r="X70">
        <v>3</v>
      </c>
    </row>
    <row r="71" spans="22:24" x14ac:dyDescent="0.2">
      <c r="V71" t="s">
        <v>72</v>
      </c>
      <c r="W71" t="s">
        <v>64</v>
      </c>
      <c r="X71">
        <v>3</v>
      </c>
    </row>
    <row r="72" spans="22:24" x14ac:dyDescent="0.2">
      <c r="V72" t="s">
        <v>73</v>
      </c>
      <c r="W72" t="s">
        <v>64</v>
      </c>
      <c r="X72">
        <v>3</v>
      </c>
    </row>
    <row r="73" spans="22:24" x14ac:dyDescent="0.2">
      <c r="V73" t="s">
        <v>74</v>
      </c>
      <c r="W73" t="s">
        <v>64</v>
      </c>
      <c r="X7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2024_preferred_players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Gilgo</dc:creator>
  <cp:lastModifiedBy>Matt Gilgo</cp:lastModifiedBy>
  <dcterms:created xsi:type="dcterms:W3CDTF">2024-09-03T22:01:39Z</dcterms:created>
  <dcterms:modified xsi:type="dcterms:W3CDTF">2024-09-03T22:01:40Z</dcterms:modified>
</cp:coreProperties>
</file>